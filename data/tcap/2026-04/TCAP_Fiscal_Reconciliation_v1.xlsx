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d5b1301d547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scal reconciliation" sheetId="1" r:id="R98e240b2063a49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%"/>
  </x:numFmts>
  <x:fonts count="2">
    <x:font>
      <x:sz val="11"/>
      <x:name val="Carlito"/>
    </x:font>
    <x:font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9c17d1dcb4efe" /><Relationship Type="http://schemas.openxmlformats.org/officeDocument/2006/relationships/theme" Target="/xl/theme/theme1.xml" Id="R68b757e6365a4115" /><Relationship Type="http://schemas.openxmlformats.org/officeDocument/2006/relationships/sharedStrings" Target="/xl/sharedStrings.xml" Id="R4ef3fe3659234ab1" /><Relationship Type="http://schemas.openxmlformats.org/officeDocument/2006/relationships/worksheet" Target="/xl/worksheets/sheet1.xml" Id="R98e240b2063a49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3" hidden="0" customWidth="1"/>
    <x:col min="2" max="2" width="20" hidden="0" customWidth="1"/>
    <x:col min="3" max="3" width="115" hidden="0" customWidth="1"/>
  </x:cols>
  <x:sheetData>
    <x:row r="1" ht="22" customHeight="1">
      <x:c r="A1" s="2" t="str">
        <x:v>TCAP fiscal reconciliation v1 — internal claims, not certified forecasts</x:v>
      </x:c>
      <x:c r="B1" s="2"/>
      <x:c r="C1" s="2"/>
    </x:row>
    <x:row r="2" ht="22" customHeight="1"/>
    <x:row r="3" ht="22" customHeight="1">
      <x:c r="A3" s="3" t="str">
        <x:v>Input / claim</x:v>
      </x:c>
      <x:c r="B3" s="3" t="str">
        <x:v>Value</x:v>
      </x:c>
      <x:c r="C3" s="3" t="str">
        <x:v>Source and status</x:v>
      </x:c>
    </x:row>
    <x:row r="4" ht="22" customHeight="1">
      <x:c r="A4" t="str">
        <x:v>CityFHEPS illustrative annual ratio / HH</x:v>
      </x:c>
      <x:c r="B4" s="4" t="n">
        <x:v>21154</x:v>
      </x:c>
      <x:c r="C4" t="str">
        <x:v>CBC Feb 2025: $1.1B / ~52,000; rounded ratio, not reported mean. https://cbcny.org/research/cityfheps-hits-1-billion</x:v>
      </x:c>
    </x:row>
    <x:row r="5" ht="22" customHeight="1">
      <x:c r="A5" t="str">
        <x:v>HPD HCV annual cost / unit</x:v>
      </x:c>
      <x:c r="B5" s="4" t="n">
        <x:v>16896</x:v>
      </x:c>
      <x:c r="C5" t="str">
        <x:v>NYS Comptroller: $1,408/month, Nov 2024. https://www.osc.ny.gov/reports/budget/fed-funding-ny/section-8-housing-choice-vouchers</x:v>
      </x:c>
    </x:row>
    <x:row r="6" ht="22" customHeight="1">
      <x:c r="A6" t="str">
        <x:v>TCAP annual operating subsidy / HH</x:v>
      </x:c>
      <x:c r="B6" s="4" t="n">
        <x:v>21800</x:v>
      </x:c>
      <x:c r="C6" t="str">
        <x:v>Internal PET_TCAP_Policy_Proposal_v5_2.md §IV.A; unverified</x:v>
      </x:c>
    </x:row>
    <x:row r="7" ht="22" customHeight="1">
      <x:c r="A7" t="str">
        <x:v>Single-channel capital / unit</x:v>
      </x:c>
      <x:c r="B7" s="4" t="n">
        <x:v>165000</x:v>
      </x:c>
      <x:c r="C7" t="str">
        <x:v>Internal PET_TCAP_Policy_Proposal_v5_2.md §IV.B; rounded planning input</x:v>
      </x:c>
    </x:row>
    <x:row r="8" ht="22" customHeight="1">
      <x:c r="A8" t="str">
        <x:v>Audit-stated 10-year public investment / HH</x:v>
      </x:c>
      <x:c r="B8" s="4" t="n">
        <x:v>241993</x:v>
      </x:c>
      <x:c r="C8" t="str">
        <x:v>TCAP_Fiscal_Model_Audit_v2.md, Issue 3; composition not reconciled to capital plus operating cost</x:v>
      </x:c>
    </x:row>
    <x:row r="9" ht="22" customHeight="1">
      <x:c r="A9" t="str">
        <x:v>Audit-stated 10-year member equity / HH</x:v>
      </x:c>
      <x:c r="B9" s="4" t="n">
        <x:v>66582</x:v>
      </x:c>
      <x:c r="C9" t="str">
        <x:v>TCAP_Fiscal_Model_Audit_v2.md, Issue 3; internal amortization scenario</x:v>
      </x:c>
    </x:row>
    <x:row r="10" ht="22" customHeight="1">
      <x:c r="A10" t="str">
        <x:v>Audit-stated 10-year building equity / HH</x:v>
      </x:c>
      <x:c r="B10" s="4" t="n">
        <x:v>10184</x:v>
      </x:c>
      <x:c r="C10" t="str">
        <x:v>TCAP_Fiscal_Model_Audit_v2.md, Issue 3; internal estimate</x:v>
      </x:c>
    </x:row>
    <x:row r="11" ht="22" customHeight="1">
      <x:c r="A11" t="str">
        <x:v>Published direct asset ROI claim</x:v>
      </x:c>
      <x:c r="B11" s="5" t="n">
        <x:v>0.308</x:v>
      </x:c>
      <x:c r="C11" t="str">
        <x:v>PET_TCAP_Policy_Proposal_v5_2.md §IV.C; denominator undisclosed</x:v>
      </x:c>
    </x:row>
    <x:row r="12" ht="22" customHeight="1">
      <x:c r="A12" t="str">
        <x:v>Three-channel weighted cost / unit</x:v>
      </x:c>
      <x:c r="B12" s="4" t="n">
        <x:v>212969</x:v>
      </x:c>
      <x:c r="C12" t="str">
        <x:v>PET_TCAP_Final_Submission_Package_20260411.md §4.9; internal model</x:v>
      </x:c>
    </x:row>
    <x:row r="13" ht="22" customHeight="1">
      <x:c r="A13" t="str">
        <x:v>Borough-model weighted cost / unit</x:v>
      </x:c>
      <x:c r="B13" s="4" t="n">
        <x:v>254167</x:v>
      </x:c>
      <x:c r="C13" t="str">
        <x:v>TCAP_Borough_Fiscal_Model_v1.md; distinct model and channel scope</x:v>
      </x:c>
    </x:row>
    <x:row r="14" ht="22" customHeight="1">
      <x:c r="A14" t="str">
        <x:v>Borough-model 10-year equity / HH</x:v>
      </x:c>
      <x:c r="B14" s="4" t="n">
        <x:v>86555</x:v>
      </x:c>
      <x:c r="C14" t="str">
        <x:v>TCAP_Borough_Fiscal_Model_v1.md; distinct model</x:v>
      </x:c>
    </x:row>
    <x:row r="15" ht="22" customHeight="1">
      <x:c r="A15" t="str">
        <x:v>Pilot unit count</x:v>
      </x:c>
      <x:c r="B15" s="4" t="n">
        <x:v>1000</x:v>
      </x:c>
      <x:c r="C15" t="str">
        <x:v>PET_TCAP_Policy_Proposal_v5_2.md §IV.D; planning scenario</x:v>
      </x:c>
    </x:row>
    <x:row r="16" ht="22" customHeight="1"/>
    <x:row r="17" ht="22" customHeight="1"/>
    <x:row r="18" ht="22" customHeight="1">
      <x:c r="A18" s="3" t="str">
        <x:v>Recalculated output</x:v>
      </x:c>
      <x:c r="B18" s="3" t="str">
        <x:v>Formula result</x:v>
      </x:c>
      <x:c r="C18" s="3" t="str">
        <x:v>Interpretation</x:v>
      </x:c>
    </x:row>
    <x:row r="19" ht="22" customHeight="1">
      <x:c r="A19" t="str">
        <x:v>Annual TCAP premium vs illustrative CityFHEPS</x:v>
      </x:c>
      <x:c r="B19" s="4" t="n">
        <x:f>B6-B4</x:f>
        <x:v>646</x:v>
      </x:c>
      <x:c r="C19" t="str">
        <x:v>Different programs and periods; not a budget saving</x:v>
      </x:c>
    </x:row>
    <x:row r="20" ht="22" customHeight="1">
      <x:c r="A20" t="str">
        <x:v>Premium as % of illustrative CityFHEPS</x:v>
      </x:c>
      <x:c r="B20" s="5" t="n">
        <x:f>B19/B4</x:f>
        <x:v>0.03053795972392928</x:v>
      </x:c>
      <x:c r="C20" t="str">
        <x:v>Rounds to about 3.1%</x:v>
      </x:c>
    </x:row>
    <x:row r="21" ht="22" customHeight="1">
      <x:c r="A21" t="str">
        <x:v>Audit-stated 10-year assets / HH</x:v>
      </x:c>
      <x:c r="B21" s="4" t="n">
        <x:f>B9+B10</x:f>
        <x:v>76766</x:v>
      </x:c>
      <x:c r="C21" t="str">
        <x:v>Member plus building equity</x:v>
      </x:c>
    </x:row>
    <x:row r="22" ht="22" customHeight="1">
      <x:c r="A22" t="str">
        <x:v>Assets / audit-stated investment</x:v>
      </x:c>
      <x:c r="B22" s="5" t="n">
        <x:f>B21/B8</x:f>
        <x:v>0.31722405193538655</x:v>
      </x:c>
      <x:c r="C22" t="str">
        <x:v>31.7%; not the claimed 30.8%</x:v>
      </x:c>
    </x:row>
    <x:row r="23" ht="22" customHeight="1">
      <x:c r="A23" t="str">
        <x:v>Difference from published direct ROI</x:v>
      </x:c>
      <x:c r="B23" s="5" t="n">
        <x:f>B22-B11</x:f>
        <x:v>0.009224051935386557</x:v>
      </x:c>
      <x:c r="C23" t="str">
        <x:v>Percentage-point discrepancy; denominator unresolved</x:v>
      </x:c>
    </x:row>
    <x:row r="24" ht="22" customHeight="1">
      <x:c r="A24" t="str">
        <x:v>Member equity / single-channel capital</x:v>
      </x:c>
      <x:c r="B24" s="5" t="n">
        <x:f>B9/B7</x:f>
        <x:v>0.40352727272727273</x:v>
      </x:c>
      <x:c r="C24" t="str">
        <x:v>Different basis from 10-year public investment</x:v>
      </x:c>
    </x:row>
    <x:row r="25" ht="22" customHeight="1">
      <x:c r="A25" t="str">
        <x:v>Borough equity / borough total cost</x:v>
      </x:c>
      <x:c r="B25" s="5" t="n">
        <x:f>B14/B13</x:f>
        <x:v>0.3405438156802417</x:v>
      </x:c>
      <x:c r="C25" t="str">
        <x:v>34.1%; distinct scenario</x:v>
      </x:c>
    </x:row>
    <x:row r="26" ht="22" customHeight="1">
      <x:c r="A26" t="str">
        <x:v>Pilot capital</x:v>
      </x:c>
      <x:c r="B26" s="4" t="n">
        <x:f>B7*B15</x:f>
        <x:v>165000000</x:v>
      </x:c>
      <x:c r="C26" t="str">
        <x:v>1,000 units × single-channel input</x:v>
      </x:c>
    </x:row>
    <x:row r="27" ht="22" customHeight="1">
      <x:c r="A27" t="str">
        <x:v>Pilot annual operating subsidy</x:v>
      </x:c>
      <x:c r="B27" s="4" t="n">
        <x:f>B6*B15</x:f>
        <x:v>21800000</x:v>
      </x:c>
      <x:c r="C27" t="str">
        <x:v>1,000 households × annual input</x:v>
      </x:c>
    </x:row>
    <x:row r="28" ht="22" customHeight="1">
      <x:c r="A28" t="str">
        <x:v>Pilot member equity</x:v>
      </x:c>
      <x:c r="B28" s="4" t="n">
        <x:f>B9*B15</x:f>
        <x:v>66582000</x:v>
      </x:c>
      <x:c r="C28" t="str">
        <x:v>Audit-stated 10-year equity × units</x:v>
      </x:c>
    </x:row>
    <x:row r="29" ht="22" customHeight="1">
      <x:c r="A29" t="str">
        <x:v>Borough less three-channel cost / unit</x:v>
      </x:c>
      <x:c r="B29" s="4" t="n">
        <x:f>B13-B12</x:f>
        <x:v>41198</x:v>
      </x:c>
      <x:c r="C29" t="str">
        <x:v>Different model scopes; do not silently average</x:v>
      </x:c>
    </x:row>
    <x:row r="30" ht="22" customHeight="1"/>
    <x:row r="31" ht="22" customHeight="1"/>
    <x:row r="32" ht="22" customHeight="1">
      <x:c r="A32" t="str">
        <x:v>Unresolved: 30.8%</x:v>
      </x:c>
      <x:c r="B32"/>
      <x:c r="C32" t="str">
        <x:v>No numerator/denominator pair in the supplied audit reproduces this claim.</x:v>
      </x:c>
    </x:row>
    <x:row r="33" ht="22" customHeight="1">
      <x:c r="A33" t="str">
        <x:v>Unresolved: break-even</x:v>
      </x:c>
      <x:c r="B33"/>
      <x:c r="C33" t="str">
        <x:v>Year 12–13, 18–19, and 23–27 use incompatible definitions and scenarios; no dated cash-flow series supplied.</x:v>
      </x:c>
    </x:row>
    <x:row r="34" ht="22" customHeight="1">
      <x:c r="A34" t="str">
        <x:v>Unresolved: 6.2:1 societal ROI</x:v>
      </x:c>
      <x:c r="B34"/>
      <x:c r="C34" t="str">
        <x:v>Externality valuations and counterfactual attribution are not supplied in a reproducible series.</x:v>
      </x:c>
    </x:row>
  </x:sheetData>
  <x:pageMargins left="0.7" right="0.7" top="0.75" bottom="0.75" header="0.3" footer="0.3"/>
</x:worksheet>
</file>